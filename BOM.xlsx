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<sst xmlns="http://schemas.openxmlformats.org/spreadsheetml/2006/main" count="22" uniqueCount="21">
  <si>
    <t xml:space="preserve">Item</t>
  </si>
  <si>
    <t xml:space="preserve">URL</t>
  </si>
  <si>
    <t xml:space="preserve">Price</t>
  </si>
  <si>
    <t xml:space="preserve">Quantity needed</t>
  </si>
  <si>
    <t xml:space="preserve">Quantity to order</t>
  </si>
  <si>
    <t xml:space="preserve">Total</t>
  </si>
  <si>
    <t xml:space="preserve">STM32G071GBU6</t>
  </si>
  <si>
    <t xml:space="preserve">https://www.lcsc.com/product-detail/C529347.html</t>
  </si>
  <si>
    <t xml:space="preserve">100nF cap</t>
  </si>
  <si>
    <t xml:space="preserve">https://www.lcsc.com/product-detail/C60474.html</t>
  </si>
  <si>
    <t xml:space="preserve">4.7uF cap</t>
  </si>
  <si>
    <t xml:space="preserve">https://www.lcsc.com/product-detail/C23733.html</t>
  </si>
  <si>
    <t xml:space="preserve">TS-1088-AR02016 (pushbutton)</t>
  </si>
  <si>
    <t xml:space="preserve">https://www.lcsc.com/product-detail/C720477.html</t>
  </si>
  <si>
    <t xml:space="preserve">PZ254V-11-04P</t>
  </si>
  <si>
    <t xml:space="preserve">https://www.lcsc.com/product-detail/C2691448.html</t>
  </si>
  <si>
    <t xml:space="preserve">PZ254V-11-03P</t>
  </si>
  <si>
    <t xml:space="preserve">https://www.lcsc.com/product-detail/C2937625.html</t>
  </si>
  <si>
    <t xml:space="preserve">Subtotal</t>
  </si>
  <si>
    <t xml:space="preserve">Shipping and handling</t>
  </si>
  <si>
    <t xml:space="preserve">PCB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</si>
</sst>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529347.html" TargetMode="External"/><Relationship Id="rId2" Type="http://schemas.openxmlformats.org/officeDocument/2006/relationships/hyperlink" Target="https://www.lcsc.com/product-detail/C60474.html" TargetMode="External"/><Relationship Id="rId3" Type="http://schemas.openxmlformats.org/officeDocument/2006/relationships/hyperlink" Target="https://www.lcsc.com/product-detail/C23733.html" TargetMode="External"/><Relationship Id="rId4" Type="http://schemas.openxmlformats.org/officeDocument/2006/relationships/hyperlink" Target="https://www.lcsc.com/product-detail/C720477.html" TargetMode="External"/><Relationship Id="rId5" Type="http://schemas.openxmlformats.org/officeDocument/2006/relationships/hyperlink" Target="https://www.lcsc.com/product-detail/C2691448.html" TargetMode="External"/><Relationship Id="rId6" Type="http://schemas.openxmlformats.org/officeDocument/2006/relationships/hyperlink" Target="https://www.lcsc.com/product-detail/C2937625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4.66"/>
    <col collapsed="false" customWidth="false" hidden="false" outlineLevel="0" max="2" min="2" style="1" width="11.53"/>
    <col collapsed="false" customWidth="true" hidden="false" outlineLevel="0" max="4" min="4" style="1" width="19.75"/>
    <col collapsed="false" customWidth="true" hidden="false" outlineLevel="0" max="5" min="5" style="1" width="18.4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2" t="s">
        <v>7</v>
      </c>
      <c r="C2" s="1" t="n">
        <v>1.65</v>
      </c>
      <c r="D2" s="1" t="n">
        <v>1</v>
      </c>
      <c r="E2" s="1" t="n">
        <v>1</v>
      </c>
      <c r="F2" s="1" t="n">
        <f aca="false">C2*E2</f>
        <v>1.65</v>
      </c>
    </row>
    <row r="3" customFormat="false" ht="12.8" hidden="false" customHeight="false" outlineLevel="0" collapsed="false">
      <c r="A3" s="1" t="s">
        <v>8</v>
      </c>
      <c r="B3" s="2" t="s">
        <v>9</v>
      </c>
      <c r="C3" s="3" t="n">
        <v>0.0011</v>
      </c>
      <c r="D3" s="1" t="n">
        <v>1</v>
      </c>
      <c r="E3" s="1" t="n">
        <v>100</v>
      </c>
      <c r="F3" s="1" t="n">
        <f aca="false">C3*E3</f>
        <v>0.11</v>
      </c>
    </row>
    <row r="4" customFormat="false" ht="12.8" hidden="false" customHeight="false" outlineLevel="0" collapsed="false">
      <c r="A4" s="1" t="s">
        <v>10</v>
      </c>
      <c r="B4" s="2" t="s">
        <v>11</v>
      </c>
      <c r="C4" s="1" t="n">
        <v>0.0059</v>
      </c>
      <c r="D4" s="1" t="n">
        <v>1</v>
      </c>
      <c r="E4" s="1" t="n">
        <v>50</v>
      </c>
      <c r="F4" s="1" t="n">
        <f aca="false">C4*E4</f>
        <v>0.295</v>
      </c>
    </row>
    <row r="5" customFormat="false" ht="12.8" hidden="false" customHeight="false" outlineLevel="0" collapsed="false">
      <c r="A5" s="1" t="s">
        <v>12</v>
      </c>
      <c r="B5" s="2" t="s">
        <v>13</v>
      </c>
      <c r="C5" s="1" t="n">
        <v>0.0558</v>
      </c>
      <c r="D5" s="1" t="n">
        <v>1</v>
      </c>
      <c r="E5" s="1" t="n">
        <v>10</v>
      </c>
      <c r="F5" s="1" t="n">
        <f aca="false">C5*E5</f>
        <v>0.558</v>
      </c>
    </row>
    <row r="6" customFormat="false" ht="12.8" hidden="false" customHeight="false" outlineLevel="0" collapsed="false">
      <c r="A6" s="4" t="s">
        <v>14</v>
      </c>
      <c r="B6" s="2" t="s">
        <v>15</v>
      </c>
      <c r="C6" s="3" t="n">
        <v>0.0254</v>
      </c>
      <c r="D6" s="1" t="n">
        <v>2</v>
      </c>
      <c r="E6" s="1" t="n">
        <v>20</v>
      </c>
      <c r="F6" s="1" t="n">
        <f aca="false">C6*E6</f>
        <v>0.508</v>
      </c>
    </row>
    <row r="7" customFormat="false" ht="12.8" hidden="false" customHeight="false" outlineLevel="0" collapsed="false">
      <c r="A7" s="4" t="s">
        <v>16</v>
      </c>
      <c r="B7" s="2" t="s">
        <v>17</v>
      </c>
      <c r="C7" s="3" t="n">
        <v>0.0186</v>
      </c>
      <c r="D7" s="1" t="n">
        <v>2</v>
      </c>
      <c r="E7" s="1" t="n">
        <v>50</v>
      </c>
      <c r="F7" s="1" t="n">
        <f aca="false">C7*E7</f>
        <v>0.93</v>
      </c>
    </row>
    <row r="10" customFormat="false" ht="12.8" hidden="false" customHeight="false" outlineLevel="0" collapsed="false">
      <c r="A10" s="1" t="s">
        <v>18</v>
      </c>
      <c r="B10" s="1" t="n">
        <f aca="false">ROUNDUP(SUM(F2:F7),2)</f>
        <v>4.06</v>
      </c>
    </row>
    <row r="11" customFormat="false" ht="12.8" hidden="false" customHeight="false" outlineLevel="0" collapsed="false">
      <c r="A11" s="1" t="s">
        <v>19</v>
      </c>
      <c r="B11" s="1" t="n">
        <f aca="false">8.72+3</f>
        <v>11.72</v>
      </c>
    </row>
    <row r="12" customFormat="false" ht="12.8" hidden="false" customHeight="false" outlineLevel="0" collapsed="false">
      <c r="A12" s="1" t="s">
        <v>20</v>
      </c>
      <c r="B12" s="1" t="n">
        <v>5.22</v>
      </c>
    </row>
    <row r="14" customFormat="false" ht="12.8" hidden="false" customHeight="false" outlineLevel="0" collapsed="false">
      <c r="A14" s="5" t="s">
        <v>5</v>
      </c>
      <c r="B14" s="6" t="n">
        <f aca="false">ROUNDUP(SUM(4.06+11.72)*1.0825,2)</f>
        <v>17.09</v>
      </c>
    </row>
  </sheetData>
  <hyperlinks>
    <hyperlink ref="B2" r:id="rId1" display="https://www.lcsc.com/product-detail/C529347.html"/>
    <hyperlink ref="B3" r:id="rId2" display="https://www.lcsc.com/product-detail/C60474.html"/>
    <hyperlink ref="B4" r:id="rId3" display="https://www.lcsc.com/product-detail/C23733.html"/>
    <hyperlink ref="B5" r:id="rId4" display="https://www.lcsc.com/product-detail/C720477.html"/>
    <hyperlink ref="B6" r:id="rId5" display="https://www.lcsc.com/product-detail/C2691448.html"/>
    <hyperlink ref="B7" r:id="rId6" display="https://www.lcsc.com/product-detail/C2937625.htm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2026-05-01T22:47:04Z</dcterms:created>
  <dc:creator/>
  <dc:description/>
  <dc:language>en-US</dc:language>
  <cp:lastModifiedBy/>
  <dcterms:modified xsi:type="dcterms:W3CDTF">2026-05-02T20:22:40Z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